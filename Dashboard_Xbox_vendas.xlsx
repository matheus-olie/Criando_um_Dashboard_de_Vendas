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13_ncr:1_{6668EB71-E91F-4060-AC40-F2775BAD3592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3" l="1"/>
  <c r="D21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<sst xmlns="http://schemas.openxmlformats.org/spreadsheetml/2006/main" count="2022" uniqueCount="326">
  <si>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</si>
  <si>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</si>
  <si>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</si>
  <si>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</si>
  <si>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</si>
  <si>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</si>
  <si>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</si>
  <si>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</si>
  <si>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</si>
  <si>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</si>
  <si>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</si>
  <si>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</si>
  <si>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</si>
  <si>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</si>
  <si>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</si>
  <si>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</si>
  <si>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</si>
  <si>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</si>
  <si>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</si>
  <si>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</si>
  <si>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</si>
  <si>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</si>
  <si>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</si>
  <si>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</si>
  <si>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</si>
  <si>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</si>
  <si>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</si>
  <si>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</si>
  <si>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</si>
  <si>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</si>
  <si>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</si>
  <si>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</si>
  <si>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</si>
  <si>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</si>
  <si>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</si>
  <si>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</si>
  <si>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</si>
  <si>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</si>
  <si>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</si>
  <si>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</si>
  <si>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</si>
  <si>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</si>
  <si>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</si>
  <si>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</si>
  <si>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</si>
  <si>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</si>
  <si>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</si>
  <si>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</si>
  <si>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</si>
  <si>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</si>
  <si>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</si>
  <si>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</si>
  <si>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</si>
  <si>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</si>
  <si>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</si>
  <si>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</si>
  <si>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</si>
  <si>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</si>
  <si>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</si>
  <si>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</si>
  <si>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</si>
  <si>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</si>
  <si>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</si>
  <si>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</si>
  <si>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</si>
  <si>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</si>
  <si>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</si>
  <si>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</si>
  <si>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</si>
  <si>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</si>
  <si>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</si>
  <si>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</si>
  <si>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</si>
  <si>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</si>
  <si>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</si>
  <si>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</si>
  <si>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</si>
  <si>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</si>
  <si>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</si>
  <si>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</si>
  <si>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</si>
  <si>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</si>
  <si>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</si>
  <si>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</si>
  <si>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</si>
  <si>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</si>
  <si>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</si>
  <si>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</si>
  <si>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</si>
  <si>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</si>
  <si>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</si>
  <si>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</si>
  <si>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</si>
  <si>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</si>
  <si>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</si>
  <si>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</si>
  <si>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</si>
  <si>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</si>
  <si>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</si>
  <si>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</si>
  <si>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</si>
  <si>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</si>
  <si>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</si>
  <si>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</si>
  <si>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</si>
  <si>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</si>
  <si>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</si>
  <si>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</si>
  <si>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</si>
  <si>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</si>
  <si>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</si>
  <si>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</si>
  <si>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</si>
  <si>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</si>
  <si>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</si>
  <si>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</si>
  <si>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</si>
  <si>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</si>
  <si>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</si>
  <si>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</si>
  <si>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</si>
  <si>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</si>
  <si>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</si>
  <si>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</si>
  <si>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</si>
  <si>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</si>
  <si>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</si>
  <si>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</si>
  <si>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</si>
  <si>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</si>
  <si>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</si>
  <si>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</si>
  <si>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</si>
  <si>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</si>
  <si>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</si>
  <si>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</si>
  <si>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</si>
  <si>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</si>
  <si>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</si>
  <si>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</si>
  <si>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</si>
  <si>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</si>
  <si>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</si>
  <si>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</si>
  <si>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</si>
  <si>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</si>
  <si>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</si>
  <si>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</si>
  <si>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</si>
  <si>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</si>
  <si>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</si>
  <si>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</si>
  <si>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</si>
  <si>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</si>
  <si>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</si>
  <si>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</si>
  <si>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</si>
  <si>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</si>
  <si>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</si>
  <si>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</si>
  <si>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</si>
  <si>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</si>
  <si>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</si>
  <si>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</si>
  <si>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</si>
  <si>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</si>
  <si>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</si>
  <si>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</si>
  <si>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</si>
  <si>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</si>
  <si>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</si>
  <si>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</si>
  <si>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</si>
  <si>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</si>
  <si>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</si>
  <si>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</si>
  <si>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</si>
  <si>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</si>
  <si>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</si>
  <si>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</si>
  <si>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</si>
  <si>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</si>
  <si>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</si>
  <si>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</si>
  <si>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</si>
  <si>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</si>
  <si>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</si>
  <si>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</si>
  <si>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</si>
  <si>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</si>
  <si>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</si>
  <si>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</si>
  <si>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</si>
  <si>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</si>
  <si>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</si>
  <si>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</si>
  <si>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</si>
  <si>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</si>
  <si>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</si>
  <si>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</si>
  <si>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</si>
  <si>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</si>
  <si>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</si>
  <si>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</si>
  <si>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</si>
  <si>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</si>
  <si>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</si>
  <si>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</si>
  <si>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</si>
  <si>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</si>
  <si>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</si>
  <si>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</si>
  <si>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</si>
  <si>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</si>
  <si>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</si>
  <si>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</si>
  <si>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</si>
  <si>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</si>
  <si>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</si>
  <si>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</si>
  <si>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</si>
  <si>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</si>
  <si>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</si>
  <si>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</si>
  <si>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</si>
  <si>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</si>
  <si>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</si>
  <si>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</si>
  <si>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</si>
  <si>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</si>
  <si>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</si>
  <si>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</si>
  <si>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</si>
  <si>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</si>
  <si>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</si>
  <si>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</si>
  <si>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</si>
  <si>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</si>
  <si>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</si>
  <si>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</si>
  <si>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</si>
  <si>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</si>
  <si>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</si>
  <si>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</si>
  <si>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</si>
  <si>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</si>
  <si>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</si>
  <si>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</si>
  <si>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</si>
  <si>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</si>
  <si>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</si>
  <si>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</si>
  <si>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</si>
  <si>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</si>
  <si>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</si>
  <si>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</si>
  <si>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</si>
  <si>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</si>
  <si>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</si>
  <si>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</si>
  <si>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</si>
  <si>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</si>
  <si>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</si>
  <si>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</si>
  <si>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</si>
  <si>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</si>
  <si>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</si>
  <si>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</si>
  <si>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</si>
  <si>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</si>
  <si>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</si>
  <si>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</si>
  <si>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</si>
  <si>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</si>
  <si>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</si>
  <si>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</si>
  <si>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</si>
  <si>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</si>
  <si>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</si>
  <si>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</si>
  <si>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</si>
  <si>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</si>
  <si>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</si>
  <si>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</si>
  <si>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</si>
  <si>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</si>
  <si>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</si>
  <si>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</si>
  <si>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</si>
  <si>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</si>
  <si>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</si>
  <si>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</si>
  <si>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</si>
  <si>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</si>
  <si>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</si>
  <si>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</si>
  <si>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</si>
  <si>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</si>
  <si>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</si>
  <si>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</si>
  <si>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</si>
  <si>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</si>
  <si>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</si>
  <si>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</si>
  <si>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</si>
  <si>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</si>
  <si>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</si>
  <si>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</si>
  <si>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</si>
  <si>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</si>
  <si>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</si>
  <si>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</si>
  <si>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</si>
  <si>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</si>
  <si>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</si>
  <si>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</si>
  <si>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</si>
  <si>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r>
      <t xml:space="preserve">Pergunta de Negócio 1: </t>
    </r>
    <r>
      <rPr>
        <sz val="11"/>
        <color theme="1"/>
        <rFont val="Aptos Narrow"/>
        <family val="2"/>
        <scheme val="minor"/>
      </rPr>
      <t xml:space="preserve">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</si>
  <si>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2: </t>
    </r>
    <r>
      <rPr>
        <sz val="11"/>
        <color theme="1"/>
        <rFont val="Aptos Narrow"/>
        <family val="2"/>
        <scheme val="minor"/>
      </rPr>
      <t xml:space="preserve">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 separados por auto renovação</t>
    </r>
  </si>
  <si>
    <t>XBOX GAME PASS SUBSCRIPTIONS SALES</t>
  </si>
  <si>
    <r>
      <t>Pergunta de Negócio 3: Total de Vendas</t>
    </r>
    <r>
      <rPr>
        <sz val="11"/>
        <color theme="1"/>
        <rFont val="Aptos Narrow"/>
        <family val="2"/>
        <scheme val="minor"/>
      </rPr>
      <t xml:space="preserve"> de assinaturas</t>
    </r>
    <r>
      <rPr>
        <b/>
        <sz val="11"/>
        <color theme="1"/>
        <rFont val="Aptos Narrow"/>
        <family val="2"/>
        <scheme val="minor"/>
      </rPr>
      <t xml:space="preserve"> EA Play</t>
    </r>
  </si>
  <si>
    <t>Soma de EA Play Season Pass</t>
  </si>
  <si>
    <t>(Vários itens)</t>
  </si>
  <si>
    <r>
      <t>Pergunta de Negócio 4: Total de Vendas</t>
    </r>
    <r>
      <rPr>
        <sz val="11"/>
        <color theme="1"/>
        <rFont val="Aptos Narrow"/>
        <family val="2"/>
        <scheme val="minor"/>
      </rPr>
      <t xml:space="preserve"> de assinaturas</t>
    </r>
    <r>
      <rPr>
        <b/>
        <sz val="11"/>
        <color theme="1"/>
        <rFont val="Aptos Narrow"/>
        <family val="2"/>
        <scheme val="minor"/>
      </rPr>
      <t xml:space="preserve"> do Minecraft Season Pass</t>
    </r>
  </si>
  <si>
    <t>Soma de Minecraft Season Pass Price</t>
  </si>
  <si>
    <t>Calculation Period: 01/01/2024 - 31/12/2024 |Update date: 07/01/2025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</si>
</sst>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0" fontId="6" fillId="0" borderId="2" xfId="1" applyFont="1" applyBorder="1"/>
    <xf numFmtId="0" fontId="5" fillId="0" borderId="2" xfId="1" applyFont="1" applyBorder="1"/>
    <xf numFmtId="165" fontId="4" fillId="0" borderId="0" xfId="2" applyNumberFormat="1" applyFont="1"/>
    <xf numFmtId="165" fontId="7" fillId="0" borderId="0" xfId="0" applyNumberFormat="1" applyFont="1"/>
    <xf numFmtId="0" fontId="0" fillId="0" borderId="2" xfId="0" applyBorder="1"/>
    <xf numFmtId="0" fontId="8" fillId="0" borderId="0" xfId="0" applyFont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25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1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D0C519A-65D3-4445-9722-4F8EC2046D5E}">
      <tableStyleElement type="wholeTable" dxfId="243"/>
      <tableStyleElement type="headerRow" dxfId="242"/>
    </tableStyle>
  </tableStyles>
  <colors>
    <mruColors>
      <color rgb="FF22C55E"/>
      <color rgb="FFE0E0E0"/>
      <color rgb="FF5BF6A8"/>
      <color rgb="FF2AE6B1"/>
      <color rgb="FFE8E6E9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753570494224993E-2"/>
          <c:y val="5.7347664365507825E-2"/>
          <c:w val="0.89424690730521017"/>
          <c:h val="0.885304671268984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Annual</c:v>
                </c:pt>
                <c:pt idx="1">
                  <c:v>Quarterly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1754</c:v>
                </c:pt>
                <c:pt idx="1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E-439A-A146-7945B0FF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596959"/>
        <c:axId val="651599359"/>
      </c:barChart>
      <c:catAx>
        <c:axId val="651596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599359"/>
        <c:crosses val="autoZero"/>
        <c:auto val="1"/>
        <c:lblAlgn val="ctr"/>
        <c:lblOffset val="100"/>
        <c:noMultiLvlLbl val="0"/>
      </c:catAx>
      <c:valAx>
        <c:axId val="6515993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515969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image" Target="../media/image8.png"/><Relationship Id="rId7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11906</xdr:rowOff>
    </xdr:from>
    <xdr:to>
      <xdr:col>1</xdr:col>
      <xdr:colOff>11906</xdr:colOff>
      <xdr:row>3</xdr:row>
      <xdr:rowOff>8730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FEC0FA-5A97-46E8-A7C4-E918FFB3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2406"/>
          <a:ext cx="1939318" cy="680383"/>
        </a:xfrm>
        <a:prstGeom prst="rect">
          <a:avLst/>
        </a:prstGeom>
      </xdr:spPr>
    </xdr:pic>
    <xdr:clientData/>
  </xdr:twoCellAnchor>
  <xdr:twoCellAnchor editAs="oneCell">
    <xdr:from>
      <xdr:col>0</xdr:col>
      <xdr:colOff>29065</xdr:colOff>
      <xdr:row>11</xdr:row>
      <xdr:rowOff>84743</xdr:rowOff>
    </xdr:from>
    <xdr:to>
      <xdr:col>0</xdr:col>
      <xdr:colOff>1910253</xdr:colOff>
      <xdr:row>26</xdr:row>
      <xdr:rowOff>90347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2658986-E6BD-4A31-8EED-E16E934F5E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65" y="2404361"/>
              <a:ext cx="1881188" cy="2863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107156</xdr:colOff>
      <xdr:row>4</xdr:row>
      <xdr:rowOff>27523</xdr:rowOff>
    </xdr:from>
    <xdr:to>
      <xdr:col>9</xdr:col>
      <xdr:colOff>392906</xdr:colOff>
      <xdr:row>9</xdr:row>
      <xdr:rowOff>68845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0061CCC-78D8-A768-BEEB-0B980C1A6A53}"/>
            </a:ext>
          </a:extLst>
        </xdr:cNvPr>
        <xdr:cNvGrpSpPr/>
      </xdr:nvGrpSpPr>
      <xdr:grpSpPr>
        <a:xfrm>
          <a:off x="2269891" y="1002435"/>
          <a:ext cx="4521574" cy="1005028"/>
          <a:chOff x="2274094" y="1012030"/>
          <a:chExt cx="4536281" cy="100012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0389ACE-8585-2F6D-BFF3-32D6D4EC83AA}"/>
              </a:ext>
            </a:extLst>
          </xdr:cNvPr>
          <xdr:cNvSpPr/>
        </xdr:nvSpPr>
        <xdr:spPr>
          <a:xfrm>
            <a:off x="2286000" y="1071562"/>
            <a:ext cx="4512469" cy="9405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CFEA750D-3E91-AB20-7E79-0F3429C0B31D}"/>
              </a:ext>
            </a:extLst>
          </xdr:cNvPr>
          <xdr:cNvGrpSpPr/>
        </xdr:nvGrpSpPr>
        <xdr:grpSpPr>
          <a:xfrm>
            <a:off x="2452687" y="1345404"/>
            <a:ext cx="4179094" cy="607221"/>
            <a:chOff x="2452687" y="1345404"/>
            <a:chExt cx="4179094" cy="607221"/>
          </a:xfrm>
        </xdr:grpSpPr>
        <xdr:sp macro="" textlink="C̳álculos!D21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2F50EC8D-6D53-4FA1-B1CE-866BC1A9C409}"/>
                </a:ext>
              </a:extLst>
            </xdr:cNvPr>
            <xdr:cNvSpPr/>
          </xdr:nvSpPr>
          <xdr:spPr>
            <a:xfrm>
              <a:off x="2452687" y="1345404"/>
              <a:ext cx="4179094" cy="60722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C637E7FB-FB4D-4B07-89C5-D3E60904CC0A}" type="TxLink">
                <a:rPr lang="en-US" sz="32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R$ 1.590,00</a:t>
              </a:fld>
              <a:endParaRPr lang="pt-BR" sz="3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A6F32831-4BDD-4F79-97E1-328CF9173ED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5391" b="30664"/>
            <a:stretch/>
          </xdr:blipFill>
          <xdr:spPr>
            <a:xfrm>
              <a:off x="2452688" y="1381124"/>
              <a:ext cx="1219200" cy="535781"/>
            </a:xfrm>
            <a:prstGeom prst="rect">
              <a:avLst/>
            </a:prstGeom>
          </xdr:spPr>
        </xdr:pic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6CFA4FB8-2507-221E-2689-1056749D8730}"/>
              </a:ext>
            </a:extLst>
          </xdr:cNvPr>
          <xdr:cNvSpPr/>
        </xdr:nvSpPr>
        <xdr:spPr>
          <a:xfrm>
            <a:off x="2274094" y="1012030"/>
            <a:ext cx="4536281" cy="321469"/>
          </a:xfrm>
          <a:prstGeom prst="round2SameRect">
            <a:avLst>
              <a:gd name="adj1" fmla="val 35185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57150</xdr:colOff>
      <xdr:row>3</xdr:row>
      <xdr:rowOff>105964</xdr:rowOff>
    </xdr:from>
    <xdr:to>
      <xdr:col>17</xdr:col>
      <xdr:colOff>509588</xdr:colOff>
      <xdr:row>9</xdr:row>
      <xdr:rowOff>46434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B2C4EA2-F116-A32E-1D4A-81E10AEA45D4}"/>
            </a:ext>
          </a:extLst>
        </xdr:cNvPr>
        <xdr:cNvGrpSpPr/>
      </xdr:nvGrpSpPr>
      <xdr:grpSpPr>
        <a:xfrm>
          <a:off x="7060826" y="980023"/>
          <a:ext cx="4520174" cy="1005029"/>
          <a:chOff x="7081838" y="1010839"/>
          <a:chExt cx="4536281" cy="1000126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72EB019-D175-0523-31DD-5203D8344659}"/>
              </a:ext>
            </a:extLst>
          </xdr:cNvPr>
          <xdr:cNvSpPr/>
        </xdr:nvSpPr>
        <xdr:spPr>
          <a:xfrm>
            <a:off x="7093744" y="1070371"/>
            <a:ext cx="4512469" cy="9405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4EBF766-5F2E-6EB0-BC73-723B82D3B688}"/>
              </a:ext>
            </a:extLst>
          </xdr:cNvPr>
          <xdr:cNvSpPr/>
        </xdr:nvSpPr>
        <xdr:spPr>
          <a:xfrm>
            <a:off x="7081838" y="1010839"/>
            <a:ext cx="4536281" cy="321469"/>
          </a:xfrm>
          <a:prstGeom prst="round2SameRect">
            <a:avLst>
              <a:gd name="adj1" fmla="val 35185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MINECRAFT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C4DA8E3A-D3F8-08C7-4125-25E56B6E99D7}"/>
              </a:ext>
            </a:extLst>
          </xdr:cNvPr>
          <xdr:cNvGrpSpPr/>
        </xdr:nvGrpSpPr>
        <xdr:grpSpPr>
          <a:xfrm>
            <a:off x="7260431" y="1344213"/>
            <a:ext cx="4179094" cy="607221"/>
            <a:chOff x="7260431" y="1344213"/>
            <a:chExt cx="4179094" cy="607221"/>
          </a:xfrm>
        </xdr:grpSpPr>
        <xdr:sp macro="" textlink="C̳álculos!D32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D686BCC8-9C54-FBFB-21E8-2DDF64794453}"/>
                </a:ext>
              </a:extLst>
            </xdr:cNvPr>
            <xdr:cNvSpPr/>
          </xdr:nvSpPr>
          <xdr:spPr>
            <a:xfrm>
              <a:off x="7260431" y="1344213"/>
              <a:ext cx="4179094" cy="60722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92EDCB7B-B5D1-477C-AE10-E4296FDCA300}" type="TxLink">
                <a:rPr lang="en-US" sz="32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R$ 2.080,00</a:t>
              </a:fld>
              <a:endParaRPr lang="pt-BR" sz="3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1BC21FC6-E537-41FE-A43E-E62B60A3B7BC}"/>
                </a:ext>
              </a:extLst>
            </xdr:cNvPr>
            <xdr:cNvGrpSpPr/>
          </xdr:nvGrpSpPr>
          <xdr:grpSpPr>
            <a:xfrm>
              <a:off x="7415212" y="1373383"/>
              <a:ext cx="1193006" cy="548881"/>
              <a:chOff x="3495675" y="5400674"/>
              <a:chExt cx="1549476" cy="752476"/>
            </a:xfrm>
          </xdr:grpSpPr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767EAD5C-B774-613F-9974-1C6B4B9DDE9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2" name="Gráfico 21">
                <a:extLst>
                  <a:ext uri="{FF2B5EF4-FFF2-40B4-BE49-F238E27FC236}">
                    <a16:creationId xmlns:a16="http://schemas.microsoft.com/office/drawing/2014/main" id="{B10028E7-BBC4-0C15-E7E4-C3BA9E7417C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2</xdr:col>
      <xdr:colOff>152399</xdr:colOff>
      <xdr:row>10</xdr:row>
      <xdr:rowOff>23813</xdr:rowOff>
    </xdr:from>
    <xdr:to>
      <xdr:col>17</xdr:col>
      <xdr:colOff>523875</xdr:colOff>
      <xdr:row>25</xdr:row>
      <xdr:rowOff>130969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F59BB205-09EF-9F4A-33E8-B877158A7AE9}"/>
            </a:ext>
          </a:extLst>
        </xdr:cNvPr>
        <xdr:cNvGrpSpPr/>
      </xdr:nvGrpSpPr>
      <xdr:grpSpPr>
        <a:xfrm>
          <a:off x="2315134" y="2152931"/>
          <a:ext cx="9280153" cy="2964656"/>
          <a:chOff x="2319337" y="2178844"/>
          <a:chExt cx="9313069" cy="2964656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667D2316-2CF7-FB5F-CC8F-7EE60BD681A4}"/>
              </a:ext>
            </a:extLst>
          </xdr:cNvPr>
          <xdr:cNvGrpSpPr/>
        </xdr:nvGrpSpPr>
        <xdr:grpSpPr>
          <a:xfrm>
            <a:off x="2321718" y="2238374"/>
            <a:ext cx="9303904" cy="2905126"/>
            <a:chOff x="2369343" y="1202531"/>
            <a:chExt cx="4441032" cy="290512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F18FB0E-F5EA-55B1-95F4-F9259D89F6F7}"/>
                </a:ext>
              </a:extLst>
            </xdr:cNvPr>
            <xdr:cNvSpPr/>
          </xdr:nvSpPr>
          <xdr:spPr>
            <a:xfrm>
              <a:off x="2369343" y="1202531"/>
              <a:ext cx="4441032" cy="2905126"/>
            </a:xfrm>
            <a:prstGeom prst="roundRect">
              <a:avLst>
                <a:gd name="adj" fmla="val 945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45CD5CC-FED7-4F66-89DB-97866CF0E6DC}"/>
                </a:ext>
              </a:extLst>
            </xdr:cNvPr>
            <xdr:cNvGraphicFramePr>
              <a:graphicFrameLocks/>
            </xdr:cNvGraphicFramePr>
          </xdr:nvGraphicFramePr>
          <xdr:xfrm>
            <a:off x="2477712" y="1624012"/>
            <a:ext cx="4227799" cy="24360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8645A0DF-0A5C-4827-AF99-8B0DB733EDE7}"/>
              </a:ext>
            </a:extLst>
          </xdr:cNvPr>
          <xdr:cNvSpPr/>
        </xdr:nvSpPr>
        <xdr:spPr>
          <a:xfrm>
            <a:off x="2319337" y="2178844"/>
            <a:ext cx="9313069" cy="38933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XBOX GAME PASS</a:t>
            </a:r>
          </a:p>
        </xdr:txBody>
      </xdr:sp>
    </xdr:grpSp>
    <xdr:clientData/>
  </xdr:twoCellAnchor>
  <xdr:twoCellAnchor editAs="oneCell">
    <xdr:from>
      <xdr:col>19</xdr:col>
      <xdr:colOff>299757</xdr:colOff>
      <xdr:row>3</xdr:row>
      <xdr:rowOff>76200</xdr:rowOff>
    </xdr:from>
    <xdr:to>
      <xdr:col>19</xdr:col>
      <xdr:colOff>537882</xdr:colOff>
      <xdr:row>5</xdr:row>
      <xdr:rowOff>112619</xdr:rowOff>
    </xdr:to>
    <xdr:pic>
      <xdr:nvPicPr>
        <xdr:cNvPr id="27" name="Gráfico 26" descr="Lupa com preenchimento sólido">
          <a:extLst>
            <a:ext uri="{FF2B5EF4-FFF2-40B4-BE49-F238E27FC236}">
              <a16:creationId xmlns:a16="http://schemas.microsoft.com/office/drawing/2014/main" id="{6FF2BCE0-0B03-4C73-A551-CC5F46DA5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81404" y="972671"/>
          <a:ext cx="238125" cy="238125"/>
        </a:xfrm>
        <a:prstGeom prst="rect">
          <a:avLst/>
        </a:prstGeom>
      </xdr:spPr>
    </xdr:pic>
    <xdr:clientData/>
  </xdr:twoCellAnchor>
  <xdr:twoCellAnchor editAs="absolute">
    <xdr:from>
      <xdr:col>0</xdr:col>
      <xdr:colOff>689512</xdr:colOff>
      <xdr:row>3</xdr:row>
      <xdr:rowOff>78442</xdr:rowOff>
    </xdr:from>
    <xdr:to>
      <xdr:col>0</xdr:col>
      <xdr:colOff>1249807</xdr:colOff>
      <xdr:row>7</xdr:row>
      <xdr:rowOff>201383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8F0A4F5E-429C-42C1-8B00-AE0D199F66CF}"/>
            </a:ext>
          </a:extLst>
        </xdr:cNvPr>
        <xdr:cNvSpPr/>
      </xdr:nvSpPr>
      <xdr:spPr>
        <a:xfrm>
          <a:off x="689512" y="952501"/>
          <a:ext cx="560295" cy="582382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112058</xdr:colOff>
      <xdr:row>7</xdr:row>
      <xdr:rowOff>257735</xdr:rowOff>
    </xdr:from>
    <xdr:to>
      <xdr:col>0</xdr:col>
      <xdr:colOff>1815352</xdr:colOff>
      <xdr:row>8</xdr:row>
      <xdr:rowOff>134471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13DA42C-168F-85C0-BA3C-50A7023D5CCF}"/>
            </a:ext>
          </a:extLst>
        </xdr:cNvPr>
        <xdr:cNvSpPr/>
      </xdr:nvSpPr>
      <xdr:spPr>
        <a:xfrm>
          <a:off x="112058" y="1613647"/>
          <a:ext cx="1703294" cy="291353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Vindo Sr. Usuário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Souza" refreshedDate="46066.767512615741" createdVersion="8" refreshedVersion="8" minRefreshableVersion="3" recordCount="295" xr:uid="{44F04A51-39D8-4C25-BC3B-04AF9C4FDAD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873821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32E38-AE87-4BBD-8F6D-BC17326EAB8A}" name="tbl_minecraft_season_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231">
      <pivotArea grandRow="1" outline="0" collapsedLevelsAreSubtotals="1" fieldPosition="0"/>
    </format>
    <format dxfId="232">
      <pivotArea outline="0" collapsedLevelsAreSubtotals="1" fieldPosition="0"/>
    </format>
    <format dxfId="2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D3480-8516-427C-A05E-5769665E4B83}" name="tbl_ea_season_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3">
    <format dxfId="234">
      <pivotArea grandRow="1" outline="0" collapsedLevelsAreSubtotals="1" fieldPosition="0"/>
    </format>
    <format dxfId="235">
      <pivotArea outline="0" collapsedLevelsAreSubtotals="1" fieldPosition="0"/>
    </format>
    <format dxfId="2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FC94A-BE4D-4C48-9E42-598C87749D14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7:C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Page"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h="1"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3">
    <i>
      <x/>
    </i>
    <i>
      <x v="2"/>
    </i>
    <i t="grand">
      <x/>
    </i>
  </rowItems>
  <colItems count="1">
    <i/>
  </colItems>
  <pageFields count="1">
    <pageField fld="4" hier="-1"/>
  </pageFields>
  <dataFields count="1">
    <dataField name="Soma de Total Value" fld="12" baseField="0" baseItem="0" numFmtId="44"/>
  </dataFields>
  <formats count="5">
    <format dxfId="237">
      <pivotArea collapsedLevelsAreSubtotals="1" fieldPosition="0">
        <references count="1">
          <reference field="6" count="1">
            <x v="0"/>
          </reference>
        </references>
      </pivotArea>
    </format>
    <format dxfId="238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239">
      <pivotArea grandRow="1" outline="0" collapsedLevelsAreSubtotals="1" fieldPosition="0"/>
    </format>
    <format dxfId="240">
      <pivotArea outline="0" collapsedLevelsAreSubtotals="1" fieldPosition="0"/>
    </format>
    <format dxfId="241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FD8AB59-8C92-486B-AB3C-B8F44B7DC276}" sourceName="Subscription Type">
  <pivotTables>
    <pivotTable tabId="3" name="tbl_anual_total"/>
    <pivotTable tabId="3" name="tbl_ea_season_pass_total"/>
    <pivotTable tabId="3" name="tbl_minecraft_season_pass_total"/>
  </pivotTables>
  <data>
    <tabular pivotCacheId="987382140">
      <items count="3">
        <i x="1" s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66B2F2E-764D-45DF-982A-2F425DDE245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56"/>
    <tableColumn id="2" xr3:uid="{53DD39D0-2220-4121-9E9D-4EAA7E151C0F}" name="Name" dataDxfId="255"/>
    <tableColumn id="3" xr3:uid="{4F5FF271-4C57-4BE0-8F2C-F82C8551625C}" name="Plan" dataDxfId="254"/>
    <tableColumn id="4" xr3:uid="{8C17EB93-79B9-4E55-B8F7-BEB82F8253E9}" name="Start Date" dataDxfId="253"/>
    <tableColumn id="5" xr3:uid="{48CEDF9B-1689-482A-A828-5CCE7713264A}" name="Auto Renewal" dataDxfId="252"/>
    <tableColumn id="6" xr3:uid="{78B82374-9AA7-4E38-AE4F-78CDE6C83720}" name="Subscription Price" dataDxfId="251" dataCellStyle="Moeda"/>
    <tableColumn id="7" xr3:uid="{F2433F68-AF33-49D0-B1FB-19A396074EDE}" name="Subscription Type" dataDxfId="250"/>
    <tableColumn id="8" xr3:uid="{FD4D9C95-F6E5-4933-9068-A71FF7DF9343}" name="EA Play Season Pass" dataDxfId="249"/>
    <tableColumn id="13" xr3:uid="{978DD0D2-834E-4CE4-A39B-30976086932F}" name="EA Play Season Pass_x000a_Price" dataDxfId="248" dataCellStyle="Moeda"/>
    <tableColumn id="9" xr3:uid="{6E29F111-C395-4580-9DAD-3407D9E8B1A4}" name="Minecraft Season Pass" dataDxfId="247"/>
    <tableColumn id="10" xr3:uid="{EF544EAA-7F25-4FD5-A10E-8E62804DB9E3}" name="Minecraft Season Pass Price" dataDxfId="246" dataCellStyle="Moeda"/>
    <tableColumn id="11" xr3:uid="{7F6EB64A-1F07-4E48-9F0F-AC7D9DCD26F8}" name="Coupon Value" dataDxfId="245" dataCellStyle="Moeda"/>
    <tableColumn id="12" xr3:uid="{2B04ABC8-DE6F-426E-ADC0-D8AFC68CA58E}" name="Total Value" dataDxfId="24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M2" sqref="M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3.85546875" bestFit="1" customWidth="1"/>
    <col min="9" max="9" width="20.5703125" customWidth="1"/>
    <col min="10" max="10" width="16.7109375" bestFit="1" customWidth="1"/>
    <col min="11" max="11" width="21.28515625" customWidth="1"/>
    <col min="12" max="12" width="12.7109375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2"/>
  <sheetViews>
    <sheetView showGridLines="0" topLeftCell="A19" workbookViewId="0">
      <selection activeCell="D32" sqref="D32"/>
    </sheetView>
  </sheetViews>
  <sheetFormatPr defaultRowHeight="15" x14ac:dyDescent="0.25"/>
  <cols>
    <col min="2" max="2" width="18.42578125" bestFit="1" customWidth="1"/>
    <col min="3" max="3" width="36.5703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s="15" t="s">
        <v>317</v>
      </c>
    </row>
    <row r="3" spans="2:3" x14ac:dyDescent="0.25">
      <c r="B3" s="15" t="s">
        <v>318</v>
      </c>
    </row>
    <row r="4" spans="2:3" x14ac:dyDescent="0.25">
      <c r="B4" s="15"/>
    </row>
    <row r="5" spans="2:3" x14ac:dyDescent="0.25">
      <c r="B5" s="12" t="s">
        <v>15</v>
      </c>
      <c r="C5" t="s">
        <v>316</v>
      </c>
    </row>
    <row r="7" spans="2:3" x14ac:dyDescent="0.25">
      <c r="B7" s="12" t="s">
        <v>313</v>
      </c>
      <c r="C7" s="14" t="s">
        <v>315</v>
      </c>
    </row>
    <row r="8" spans="2:3" x14ac:dyDescent="0.25">
      <c r="B8" s="13" t="s">
        <v>24</v>
      </c>
      <c r="C8" s="14">
        <v>1754</v>
      </c>
    </row>
    <row r="9" spans="2:3" x14ac:dyDescent="0.25">
      <c r="B9" s="13" t="s">
        <v>27</v>
      </c>
      <c r="C9" s="14">
        <v>2308</v>
      </c>
    </row>
    <row r="10" spans="2:3" x14ac:dyDescent="0.25">
      <c r="B10" s="13" t="s">
        <v>314</v>
      </c>
      <c r="C10" s="14">
        <v>4062</v>
      </c>
    </row>
    <row r="13" spans="2:3" x14ac:dyDescent="0.25">
      <c r="B13" s="15" t="s">
        <v>320</v>
      </c>
    </row>
    <row r="15" spans="2:3" x14ac:dyDescent="0.25">
      <c r="B15" s="12" t="s">
        <v>16</v>
      </c>
      <c r="C15" t="s">
        <v>322</v>
      </c>
    </row>
    <row r="17" spans="2:4" x14ac:dyDescent="0.25">
      <c r="B17" s="12" t="s">
        <v>313</v>
      </c>
      <c r="C17" s="14" t="s">
        <v>321</v>
      </c>
    </row>
    <row r="18" spans="2:4" x14ac:dyDescent="0.25">
      <c r="B18" s="13" t="s">
        <v>22</v>
      </c>
      <c r="C18" s="14">
        <v>0</v>
      </c>
    </row>
    <row r="19" spans="2:4" x14ac:dyDescent="0.25">
      <c r="B19" s="13" t="s">
        <v>26</v>
      </c>
      <c r="C19" s="14">
        <v>0</v>
      </c>
    </row>
    <row r="20" spans="2:4" x14ac:dyDescent="0.25">
      <c r="B20" s="13" t="s">
        <v>18</v>
      </c>
      <c r="C20" s="14">
        <v>1590</v>
      </c>
    </row>
    <row r="21" spans="2:4" x14ac:dyDescent="0.25">
      <c r="B21" s="13" t="s">
        <v>314</v>
      </c>
      <c r="C21" s="14">
        <v>1590</v>
      </c>
      <c r="D21" s="18">
        <f>GETPIVOTDATA("EA Play Season Pass
Price",$B$17)</f>
        <v>1590</v>
      </c>
    </row>
    <row r="24" spans="2:4" x14ac:dyDescent="0.25">
      <c r="B24" s="15" t="s">
        <v>323</v>
      </c>
    </row>
    <row r="26" spans="2:4" x14ac:dyDescent="0.25">
      <c r="B26" s="12" t="s">
        <v>16</v>
      </c>
      <c r="C26" t="s">
        <v>322</v>
      </c>
    </row>
    <row r="28" spans="2:4" x14ac:dyDescent="0.25">
      <c r="B28" s="12" t="s">
        <v>313</v>
      </c>
      <c r="C28" s="14" t="s">
        <v>324</v>
      </c>
    </row>
    <row r="29" spans="2:4" x14ac:dyDescent="0.25">
      <c r="B29" s="13" t="s">
        <v>22</v>
      </c>
      <c r="C29" s="14">
        <v>0</v>
      </c>
    </row>
    <row r="30" spans="2:4" x14ac:dyDescent="0.25">
      <c r="B30" s="13" t="s">
        <v>26</v>
      </c>
      <c r="C30" s="14">
        <v>1020</v>
      </c>
    </row>
    <row r="31" spans="2:4" x14ac:dyDescent="0.25">
      <c r="B31" s="13" t="s">
        <v>18</v>
      </c>
      <c r="C31" s="14">
        <v>1060</v>
      </c>
    </row>
    <row r="32" spans="2:4" x14ac:dyDescent="0.25">
      <c r="B32" s="13" t="s">
        <v>314</v>
      </c>
      <c r="C32" s="14">
        <v>2080</v>
      </c>
      <c r="D32" s="19">
        <f>GETPIVOTDATA("Minecraft Season Pass Price",$B$28)</f>
        <v>2080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51"/>
  <sheetViews>
    <sheetView showGridLines="0" tabSelected="1" zoomScale="85" zoomScaleNormal="85" workbookViewId="0">
      <selection activeCell="B23" sqref="B23"/>
    </sheetView>
  </sheetViews>
  <sheetFormatPr defaultRowHeight="15" x14ac:dyDescent="0.25"/>
  <cols>
    <col min="1" max="1" width="28.85546875" style="4" customWidth="1"/>
    <col min="2" max="2" width="3.5703125" customWidth="1"/>
    <col min="12" max="12" width="6.5703125" customWidth="1"/>
  </cols>
  <sheetData>
    <row r="2" spans="1:18" ht="33.75" customHeight="1" thickBot="1" x14ac:dyDescent="0.5">
      <c r="C2" s="16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0"/>
    </row>
    <row r="3" spans="1:18" ht="20.25" customHeight="1" x14ac:dyDescent="0.25">
      <c r="C3" s="21" t="s">
        <v>325</v>
      </c>
    </row>
    <row r="4" spans="1:18" s="7" customFormat="1" ht="8.25" customHeight="1" x14ac:dyDescent="0.25">
      <c r="A4" s="4"/>
    </row>
    <row r="5" spans="1:18" s="7" customFormat="1" ht="7.5" customHeight="1" x14ac:dyDescent="0.25">
      <c r="A5" s="4"/>
    </row>
    <row r="6" spans="1:18" s="7" customFormat="1" ht="10.5" customHeight="1" x14ac:dyDescent="0.25">
      <c r="A6" s="4"/>
    </row>
    <row r="7" spans="1:18" s="7" customFormat="1" ht="9.75" customHeight="1" x14ac:dyDescent="0.25">
      <c r="A7" s="4"/>
    </row>
    <row r="8" spans="1:18" s="7" customFormat="1" ht="33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Carla Souza</cp:lastModifiedBy>
  <dcterms:created xsi:type="dcterms:W3CDTF">2024-12-19T13:13:10Z</dcterms:created>
  <dcterms:modified xsi:type="dcterms:W3CDTF">2026-02-14T01:30:43Z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